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takaki/Documents/!!patricia/!Dinter_UFSC/!DISCIPLINAS/!Machine Learning e Deep Learning/trabalho final/"/>
    </mc:Choice>
  </mc:AlternateContent>
  <xr:revisionPtr revIDLastSave="0" documentId="13_ncr:1_{1DF7208F-9CCB-AF46-88C5-01AD86B9B60A}" xr6:coauthVersionLast="46" xr6:coauthVersionMax="46" xr10:uidLastSave="{00000000-0000-0000-0000-000000000000}"/>
  <bookViews>
    <workbookView xWindow="120" yWindow="500" windowWidth="21760" windowHeight="18980" xr2:uid="{F37ABA22-9CA4-0041-B5AE-B4B7AE295A5F}"/>
  </bookViews>
  <sheets>
    <sheet name="Planilha1" sheetId="1" r:id="rId1"/>
  </sheets>
  <definedNames>
    <definedName name="_xlnm._FilterDatabase" localSheetId="0" hidden="1">Planilha1!$B$26:$M$47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8" i="1" l="1"/>
  <c r="F49" i="1"/>
  <c r="E49" i="1"/>
  <c r="C49" i="1"/>
  <c r="D49" i="1"/>
  <c r="H49" i="1"/>
  <c r="I49" i="1"/>
  <c r="J49" i="1"/>
  <c r="K49" i="1"/>
  <c r="L49" i="1"/>
  <c r="M49" i="1"/>
  <c r="G49" i="1"/>
  <c r="M48" i="1" l="1"/>
  <c r="L48" i="1"/>
  <c r="K48" i="1"/>
  <c r="J48" i="1"/>
  <c r="I48" i="1"/>
  <c r="H48" i="1"/>
  <c r="G48" i="1"/>
  <c r="F48" i="1"/>
  <c r="D48" i="1"/>
  <c r="C48" i="1"/>
  <c r="C17" i="1" l="1"/>
  <c r="C6" i="1" s="1"/>
  <c r="C12" i="1"/>
  <c r="D10" i="1" s="1"/>
  <c r="D17" i="1" l="1"/>
  <c r="D16" i="1"/>
  <c r="D12" i="1"/>
  <c r="C5" i="1"/>
  <c r="C7" i="1" s="1"/>
  <c r="D15" i="1"/>
  <c r="D11" i="1"/>
  <c r="D7" i="1" l="1"/>
  <c r="D6" i="1"/>
  <c r="D5" i="1"/>
</calcChain>
</file>

<file path=xl/sharedStrings.xml><?xml version="1.0" encoding="utf-8"?>
<sst xmlns="http://schemas.openxmlformats.org/spreadsheetml/2006/main" count="171" uniqueCount="49">
  <si>
    <t>tp</t>
  </si>
  <si>
    <t>tn</t>
  </si>
  <si>
    <t>fp</t>
  </si>
  <si>
    <t>fn</t>
  </si>
  <si>
    <t>accu</t>
  </si>
  <si>
    <t>prec</t>
  </si>
  <si>
    <t>reca</t>
  </si>
  <si>
    <t>espe</t>
  </si>
  <si>
    <t>g_means</t>
  </si>
  <si>
    <t>f_measu</t>
  </si>
  <si>
    <t>kappa</t>
  </si>
  <si>
    <t>Random Forest</t>
  </si>
  <si>
    <t>NearMiss: Logistic Regression</t>
  </si>
  <si>
    <t>SMOTE: Logistic Regression</t>
  </si>
  <si>
    <t>Logistic Regression</t>
  </si>
  <si>
    <t>Decision Tree</t>
  </si>
  <si>
    <t>SMOTE: Decision Tree</t>
  </si>
  <si>
    <t>SMOTE: Random Forest</t>
  </si>
  <si>
    <t>NearMiss: Decision Tree</t>
  </si>
  <si>
    <t>NearMiss: Random Forest</t>
  </si>
  <si>
    <t xml:space="preserve">Descrição dos conjuntos de treinamento e de testes </t>
  </si>
  <si>
    <t>Qtde</t>
  </si>
  <si>
    <t>Porc (%)</t>
  </si>
  <si>
    <t>DADOS COLETADOS</t>
  </si>
  <si>
    <t>Treinamento</t>
  </si>
  <si>
    <t>Testes</t>
  </si>
  <si>
    <t>Total</t>
  </si>
  <si>
    <t>DADOS DE TREINAMENTO</t>
  </si>
  <si>
    <t>DADOS DE TESTES</t>
  </si>
  <si>
    <t>Reprovados</t>
  </si>
  <si>
    <t>Aprovados</t>
  </si>
  <si>
    <t>WITH POLOS</t>
  </si>
  <si>
    <t>Classifier</t>
  </si>
  <si>
    <t>NearMiss: SVM with a 3rd-degree</t>
  </si>
  <si>
    <t>SVM with RBF kernel</t>
  </si>
  <si>
    <t>SMOTE: SVM with RBF kernel</t>
  </si>
  <si>
    <t>NearMiss: SVM with RBF kernel</t>
  </si>
  <si>
    <t>NearMiss: SVM with a 4th-deg kernel</t>
  </si>
  <si>
    <t>NearMiss: SVM with a 2nd-deg kernel</t>
  </si>
  <si>
    <t>SMOTE: SVM with a 3rd-deg kernel</t>
  </si>
  <si>
    <t>SMOTE: SVM with a 2nd-deg kernel</t>
  </si>
  <si>
    <t>SMOTE: SVM with a 4th-deg kernel</t>
  </si>
  <si>
    <t>SVM with a 2nd-deg kernel</t>
  </si>
  <si>
    <t>SVM with a 4th-deg kernel</t>
  </si>
  <si>
    <t>SVM with a 3rd-degr kernel</t>
  </si>
  <si>
    <t>Melhor resultado</t>
  </si>
  <si>
    <t>Pior resultado</t>
  </si>
  <si>
    <t>Resultados após a metodologia para classificar os modelos preditivos</t>
  </si>
  <si>
    <t>Excluídos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</si>
</sst>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212121"/>
      <name val="Arial"/>
      <family val="2"/>
    </font>
    <font>
      <sz val="14"/>
      <color rgb="FF21212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7E79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4" fillId="0" borderId="1" xfId="0" applyFont="1" applyBorder="1"/>
    <xf numFmtId="9" fontId="4" fillId="0" borderId="1" xfId="1" applyFont="1" applyBorder="1"/>
    <xf numFmtId="0" fontId="4" fillId="0" borderId="1" xfId="0" applyFont="1" applyBorder="1" applyAlignment="1">
      <alignment horizontal="right"/>
    </xf>
    <xf numFmtId="9" fontId="4" fillId="0" borderId="1" xfId="1" applyFont="1" applyBorder="1" applyAlignment="1">
      <alignment horizontal="right"/>
    </xf>
    <xf numFmtId="0" fontId="4" fillId="0" borderId="0" xfId="0" applyFont="1" applyAlignment="1">
      <alignment horizontal="right"/>
    </xf>
    <xf numFmtId="0" fontId="5" fillId="0" borderId="1" xfId="0" applyFont="1" applyBorder="1"/>
    <xf numFmtId="0" fontId="3" fillId="2" borderId="1" xfId="0" applyFont="1" applyFill="1" applyBorder="1"/>
    <xf numFmtId="0" fontId="3" fillId="3" borderId="1" xfId="0" applyFont="1" applyFill="1" applyBorder="1"/>
    <xf numFmtId="164" fontId="4" fillId="0" borderId="0" xfId="0" applyNumberFormat="1" applyFont="1"/>
    <xf numFmtId="164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Fill="1" applyBorder="1"/>
    <xf numFmtId="164" fontId="3" fillId="3" borderId="1" xfId="0" applyNumberFormat="1" applyFont="1" applyFill="1" applyBorder="1"/>
    <xf numFmtId="164" fontId="3" fillId="0" borderId="1" xfId="0" applyNumberFormat="1" applyFont="1" applyFill="1" applyBorder="1"/>
    <xf numFmtId="0" fontId="4" fillId="0" borderId="0" xfId="0" applyFont="1" applyAlignment="1"/>
    <xf numFmtId="164" fontId="3" fillId="4" borderId="1" xfId="0" applyNumberFormat="1" applyFont="1" applyFill="1" applyBorder="1"/>
    <xf numFmtId="0" fontId="3" fillId="4" borderId="1" xfId="0" applyFont="1" applyFill="1" applyBorder="1"/>
    <xf numFmtId="0" fontId="2" fillId="0" borderId="0" xfId="0" applyFont="1" applyBorder="1" applyAlignment="1">
      <alignment horizontal="center"/>
    </xf>
    <xf numFmtId="164" fontId="3" fillId="0" borderId="0" xfId="0" applyNumberFormat="1" applyFont="1" applyFill="1" applyBorder="1"/>
    <xf numFmtId="164" fontId="3" fillId="0" borderId="0" xfId="0" applyNumberFormat="1" applyFont="1" applyBorder="1"/>
    <xf numFmtId="1" fontId="3" fillId="0" borderId="0" xfId="0" applyNumberFormat="1" applyFont="1" applyFill="1" applyBorder="1"/>
    <xf numFmtId="164" fontId="3" fillId="2" borderId="1" xfId="0" applyNumberFormat="1" applyFont="1" applyFill="1" applyBorder="1"/>
    <xf numFmtId="0" fontId="6" fillId="0" borderId="1" xfId="0" applyFont="1" applyBorder="1" applyAlignment="1">
      <alignment horizontal="right"/>
    </xf>
    <xf numFmtId="0" fontId="2" fillId="0" borderId="0" xfId="0" applyFont="1" applyFill="1" applyBorder="1" applyAlignment="1">
      <alignment horizontal="center"/>
    </xf>
    <xf numFmtId="0" fontId="4" fillId="0" borderId="0" xfId="0" applyFont="1" applyFill="1" applyBorder="1"/>
    <xf numFmtId="0" fontId="5" fillId="0" borderId="0" xfId="0" applyFont="1" applyFill="1" applyBorder="1"/>
    <xf numFmtId="0" fontId="3" fillId="0" borderId="0" xfId="0" applyFont="1" applyFill="1" applyBorder="1"/>
    <xf numFmtId="0" fontId="3" fillId="5" borderId="2" xfId="0" applyFont="1" applyFill="1" applyBorder="1"/>
    <xf numFmtId="0" fontId="3" fillId="0" borderId="2" xfId="0" applyFont="1" applyBorder="1"/>
    <xf numFmtId="164" fontId="3" fillId="0" borderId="2" xfId="0" applyNumberFormat="1" applyFont="1" applyBorder="1"/>
    <xf numFmtId="164" fontId="3" fillId="5" borderId="2" xfId="0" applyNumberFormat="1" applyFont="1" applyFill="1" applyBorder="1"/>
    <xf numFmtId="0" fontId="3" fillId="0" borderId="3" xfId="0" applyFont="1" applyBorder="1"/>
    <xf numFmtId="0" fontId="3" fillId="0" borderId="4" xfId="0" applyFont="1" applyBorder="1"/>
    <xf numFmtId="0" fontId="3" fillId="6" borderId="4" xfId="0" applyFont="1" applyFill="1" applyBorder="1"/>
    <xf numFmtId="164" fontId="3" fillId="6" borderId="4" xfId="0" applyNumberFormat="1" applyFont="1" applyFill="1" applyBorder="1"/>
    <xf numFmtId="164" fontId="3" fillId="0" borderId="4" xfId="0" applyNumberFormat="1" applyFont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1" fontId="4" fillId="4" borderId="1" xfId="0" applyNumberFormat="1" applyFont="1" applyFill="1" applyBorder="1"/>
    <xf numFmtId="164" fontId="4" fillId="4" borderId="1" xfId="0" applyNumberFormat="1" applyFont="1" applyFill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DADOS DE TREINAMENTO (3348)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explosion val="9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8A7-E448-AAF7-153E3F91726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8A7-E448-AAF7-153E3F91726C}"/>
              </c:ext>
            </c:extLst>
          </c:dPt>
          <c:dLbls>
            <c:dLbl>
              <c:idx val="0"/>
              <c:layout>
                <c:manualLayout>
                  <c:x val="-0.13088717071219039"/>
                  <c:y val="-0.2429317949839604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t" anchorCtr="0">
                  <a:noAutofit/>
                </a:bodyPr>
                <a:lstStyle/>
                <a:p>
                  <a:pPr algn="l"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750007750988065"/>
                      <c:h val="0.1712962962962962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8A7-E448-AAF7-153E3F91726C}"/>
                </c:ext>
              </c:extLst>
            </c:dLbl>
            <c:dLbl>
              <c:idx val="1"/>
              <c:layout>
                <c:manualLayout>
                  <c:x val="0.11486137542390519"/>
                  <c:y val="0.1991411490230387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r"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7291671895507818"/>
                      <c:h val="0.204861111111111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98A7-E448-AAF7-153E3F9172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Planilha1!$B$10:$B$11</c:f>
              <c:strCache>
                <c:ptCount val="2"/>
                <c:pt idx="0">
                  <c:v>Aprovados</c:v>
                </c:pt>
                <c:pt idx="1">
                  <c:v>Reprovados</c:v>
                </c:pt>
              </c:strCache>
            </c:strRef>
          </c:cat>
          <c:val>
            <c:numRef>
              <c:f>Planilha1!$C$10:$C$11</c:f>
              <c:numCache>
                <c:formatCode>General</c:formatCode>
                <c:ptCount val="2"/>
                <c:pt idx="0">
                  <c:v>2814</c:v>
                </c:pt>
                <c:pt idx="1">
                  <c:v>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A7-E448-AAF7-153E3F91726C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B5E-6E44-9A09-E34FE7C7E8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B5E-6E44-9A09-E34FE7C7E8F5}"/>
              </c:ext>
            </c:extLst>
          </c:dPt>
          <c:cat>
            <c:strRef>
              <c:f>Planilha1!$B$10:$B$11</c:f>
              <c:strCache>
                <c:ptCount val="2"/>
                <c:pt idx="0">
                  <c:v>Aprovados</c:v>
                </c:pt>
                <c:pt idx="1">
                  <c:v>Reprovados</c:v>
                </c:pt>
              </c:strCache>
            </c:strRef>
          </c:cat>
          <c:val>
            <c:numRef>
              <c:f>Planilha1!$D$10:$D$11</c:f>
              <c:numCache>
                <c:formatCode>0%</c:formatCode>
                <c:ptCount val="2"/>
                <c:pt idx="0">
                  <c:v>0.84050179211469533</c:v>
                </c:pt>
                <c:pt idx="1">
                  <c:v>0.15949820788530467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8A7-E448-AAF7-153E3F917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DADOS COLETADOS (4396)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Planilha1!$C$4</c:f>
              <c:strCache>
                <c:ptCount val="1"/>
                <c:pt idx="0">
                  <c:v>Qtde</c:v>
                </c:pt>
              </c:strCache>
            </c:strRef>
          </c:tx>
          <c:dPt>
            <c:idx val="0"/>
            <c:bubble3D val="0"/>
            <c:explosion val="9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AB-3543-8FE6-4614D0ABD2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AB-3543-8FE6-4614D0ABD25B}"/>
              </c:ext>
            </c:extLst>
          </c:dPt>
          <c:dLbls>
            <c:dLbl>
              <c:idx val="0"/>
              <c:layout>
                <c:manualLayout>
                  <c:x val="-0.16125007935535407"/>
                  <c:y val="-0.2042107757363662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t" anchorCtr="0">
                  <a:noAutofit/>
                </a:bodyPr>
                <a:lstStyle/>
                <a:p>
                  <a:pPr algn="l"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593756689840891"/>
                      <c:h val="0.1643518518518518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1AB-3543-8FE6-4614D0ABD25B}"/>
                </c:ext>
              </c:extLst>
            </c:dLbl>
            <c:dLbl>
              <c:idx val="1"/>
              <c:layout>
                <c:manualLayout>
                  <c:x val="0.13397501671998849"/>
                  <c:y val="0.1942855059784193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r">
                    <a:defRPr sz="11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99625738004792"/>
                      <c:h val="0.1918055555555555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C1AB-3543-8FE6-4614D0ABD2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Planilha1!$B$5:$B$6</c:f>
              <c:strCache>
                <c:ptCount val="2"/>
                <c:pt idx="0">
                  <c:v>Treinamento</c:v>
                </c:pt>
                <c:pt idx="1">
                  <c:v>Testes</c:v>
                </c:pt>
              </c:strCache>
            </c:strRef>
          </c:cat>
          <c:val>
            <c:numRef>
              <c:f>Planilha1!$C$5:$C$6</c:f>
              <c:numCache>
                <c:formatCode>General</c:formatCode>
                <c:ptCount val="2"/>
                <c:pt idx="0">
                  <c:v>3348</c:v>
                </c:pt>
                <c:pt idx="1">
                  <c:v>1048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AB-3543-8FE6-4614D0ABD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DADOS DE TESTES (1048)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7B-4043-829A-8678417997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DFE-1749-8A53-B7FDC8A943F4}"/>
              </c:ext>
            </c:extLst>
          </c:dPt>
          <c:dLbls>
            <c:dLbl>
              <c:idx val="0"/>
              <c:layout>
                <c:manualLayout>
                  <c:x val="-8.6250042445887104E-2"/>
                  <c:y val="-0.24894101778944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t" anchorCtr="0">
                  <a:noAutofit/>
                </a:bodyPr>
                <a:lstStyle/>
                <a:p>
                  <a:pPr algn="l"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000007381893396"/>
                      <c:h val="0.1724537037037037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D7B-4043-829A-867841799763}"/>
                </c:ext>
              </c:extLst>
            </c:dLbl>
            <c:dLbl>
              <c:idx val="1"/>
              <c:layout>
                <c:manualLayout>
                  <c:x val="9.0972239651692752E-2"/>
                  <c:y val="0.1914031058617672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r">
                    <a:defRPr sz="12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847213999613188"/>
                      <c:h val="0.1863425925925925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EDFE-1749-8A53-B7FDC8A943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Planilha1!$B$15:$B$16</c:f>
              <c:strCache>
                <c:ptCount val="2"/>
                <c:pt idx="0">
                  <c:v>Aprovados</c:v>
                </c:pt>
                <c:pt idx="1">
                  <c:v>Reprovados</c:v>
                </c:pt>
              </c:strCache>
            </c:strRef>
          </c:cat>
          <c:val>
            <c:numRef>
              <c:f>Planilha1!$C$15:$C$16</c:f>
              <c:numCache>
                <c:formatCode>General</c:formatCode>
                <c:ptCount val="2"/>
                <c:pt idx="0">
                  <c:v>922</c:v>
                </c:pt>
                <c:pt idx="1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7B-4043-829A-867841799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716139</xdr:colOff>
      <xdr:row>11</xdr:row>
      <xdr:rowOff>102305</xdr:rowOff>
    </xdr:from>
    <xdr:to>
      <xdr:col>9</xdr:col>
      <xdr:colOff>772582</xdr:colOff>
      <xdr:row>22</xdr:row>
      <xdr:rowOff>206727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54EB18F-CDA9-9248-A5F9-16886A0D2C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744361</xdr:colOff>
      <xdr:row>0</xdr:row>
      <xdr:rowOff>0</xdr:rowOff>
    </xdr:from>
    <xdr:to>
      <xdr:col>11</xdr:col>
      <xdr:colOff>800804</xdr:colOff>
      <xdr:row>11</xdr:row>
      <xdr:rowOff>107950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364B96F-341D-A641-9181-68C7E3A88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772584</xdr:colOff>
      <xdr:row>11</xdr:row>
      <xdr:rowOff>102305</xdr:rowOff>
    </xdr:from>
    <xdr:to>
      <xdr:col>14</xdr:col>
      <xdr:colOff>3527</xdr:colOff>
      <xdr:row>22</xdr:row>
      <xdr:rowOff>206727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2B597B8-3B2F-3A4D-8128-96AA45575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0.3775</cdr:x>
      <cdr:y>0.79012</cdr:y>
    </cdr:from>
    <cdr:to>
      <cdr:x>0.6475</cdr:x>
      <cdr:y>0.88889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E71CD99D-EC06-6E4D-AFEC-0FA0FC874182}"/>
            </a:ext>
          </a:extLst>
        </cdr:cNvPr>
        <cdr:cNvSpPr txBox="1"/>
      </cdr:nvSpPr>
      <cdr:spPr>
        <a:xfrm xmlns:a="http://schemas.openxmlformats.org/drawingml/2006/main">
          <a:off x="1278467" y="2167466"/>
          <a:ext cx="914400" cy="2709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100"/>
            <a:t>(B)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0.38333</cdr:x>
      <cdr:y>0.79835</cdr:y>
    </cdr:from>
    <cdr:to>
      <cdr:x>0.65333</cdr:x>
      <cdr:y>0.89712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C7630419-7BD5-7B48-88CF-756F286F0968}"/>
            </a:ext>
          </a:extLst>
        </cdr:cNvPr>
        <cdr:cNvSpPr txBox="1"/>
      </cdr:nvSpPr>
      <cdr:spPr>
        <a:xfrm xmlns:a="http://schemas.openxmlformats.org/drawingml/2006/main">
          <a:off x="1298222" y="2190044"/>
          <a:ext cx="914400" cy="2709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pt-BR" sz="1100"/>
            <a:t>(A)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0.3775</cdr:x>
      <cdr:y>0.79527</cdr:y>
    </cdr:from>
    <cdr:to>
      <cdr:x>0.6475</cdr:x>
      <cdr:y>0.89403</cdr:y>
    </cdr:to>
    <cdr:sp macro="" textlink="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8DF2FD39-7B2A-9945-8079-F5EE5E2DAEF5}"/>
            </a:ext>
          </a:extLst>
        </cdr:cNvPr>
        <cdr:cNvSpPr txBox="1"/>
      </cdr:nvSpPr>
      <cdr:spPr>
        <a:xfrm xmlns:a="http://schemas.openxmlformats.org/drawingml/2006/main">
          <a:off x="1278466" y="2181578"/>
          <a:ext cx="914400" cy="27093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100"/>
            <a:t>(C)</a:t>
          </a:r>
        </a:p>
      </cdr:txBody>
    </cdr:sp>
  </cdr:relSizeAnchor>
</c:userShape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91B51-904E-6F4D-BED9-B124E3CB342C}">
  <dimension ref="B2:AD147"/>
  <sheetViews>
    <sheetView tabSelected="1" topLeftCell="A23" zoomScaleNormal="100" workbookViewId="0">
      <selection activeCell="F150" sqref="F150"/>
    </sheetView>
  </sheetViews>
  <sheetFormatPr baseColWidth="10" defaultRowHeight="19" x14ac:dyDescent="0.25"/>
  <cols>
    <col min="1" max="1" width="4.33203125" style="2" customWidth="1"/>
    <col min="2" max="2" width="42.33203125" style="2" customWidth="1"/>
    <col min="3" max="13" width="10.83203125" style="2"/>
    <col min="14" max="14" width="4.33203125" style="2" customWidth="1"/>
    <col min="15" max="15" width="42.33203125" style="2" customWidth="1"/>
    <col min="16" max="19" width="6.1640625" style="2" customWidth="1"/>
    <col min="20" max="20" width="12" style="2" customWidth="1"/>
    <col min="21" max="21" width="11.5" style="2" customWidth="1"/>
    <col min="22" max="28" width="12" style="2" customWidth="1"/>
    <col min="29" max="29" width="4.33203125" style="2" customWidth="1"/>
    <col min="30" max="30" width="33" style="2" customWidth="1"/>
    <col min="31" max="16384" width="10.83203125" style="2"/>
  </cols>
  <sheetData>
    <row r="2" spans="2:4" x14ac:dyDescent="0.25">
      <c r="B2" s="1" t="s">
        <v>20</v>
      </c>
    </row>
    <row r="3" spans="2:4" x14ac:dyDescent="0.25">
      <c r="B3" s="1"/>
    </row>
    <row r="4" spans="2:4" x14ac:dyDescent="0.25">
      <c r="B4" s="3" t="s">
        <v>23</v>
      </c>
      <c r="C4" s="4" t="s">
        <v>21</v>
      </c>
      <c r="D4" s="4" t="s">
        <v>22</v>
      </c>
    </row>
    <row r="5" spans="2:4" x14ac:dyDescent="0.25">
      <c r="B5" s="3" t="s">
        <v>24</v>
      </c>
      <c r="C5" s="4">
        <f>C12</f>
        <v>3348</v>
      </c>
      <c r="D5" s="5">
        <f>C5/C7</f>
        <v>0.76160145586897177</v>
      </c>
    </row>
    <row r="6" spans="2:4" x14ac:dyDescent="0.25">
      <c r="B6" s="3" t="s">
        <v>25</v>
      </c>
      <c r="C6" s="4">
        <f>C17</f>
        <v>1048</v>
      </c>
      <c r="D6" s="5">
        <f>C6/C7</f>
        <v>0.23839854413102821</v>
      </c>
    </row>
    <row r="7" spans="2:4" x14ac:dyDescent="0.25">
      <c r="B7" s="3" t="s">
        <v>26</v>
      </c>
      <c r="C7" s="4">
        <f>SUM(C5:C6)</f>
        <v>4396</v>
      </c>
      <c r="D7" s="5">
        <f>C7/C7</f>
        <v>1</v>
      </c>
    </row>
    <row r="8" spans="2:4" x14ac:dyDescent="0.25">
      <c r="B8" s="1"/>
    </row>
    <row r="9" spans="2:4" x14ac:dyDescent="0.25">
      <c r="B9" s="3" t="s">
        <v>27</v>
      </c>
      <c r="C9" s="6" t="s">
        <v>21</v>
      </c>
      <c r="D9" s="6" t="s">
        <v>22</v>
      </c>
    </row>
    <row r="10" spans="2:4" x14ac:dyDescent="0.25">
      <c r="B10" s="4" t="s">
        <v>30</v>
      </c>
      <c r="C10" s="6">
        <v>2814</v>
      </c>
      <c r="D10" s="7">
        <f>C10/C12</f>
        <v>0.84050179211469533</v>
      </c>
    </row>
    <row r="11" spans="2:4" x14ac:dyDescent="0.25">
      <c r="B11" s="3" t="s">
        <v>29</v>
      </c>
      <c r="C11" s="6">
        <v>534</v>
      </c>
      <c r="D11" s="7">
        <f>C11/C12</f>
        <v>0.15949820788530467</v>
      </c>
    </row>
    <row r="12" spans="2:4" x14ac:dyDescent="0.25">
      <c r="B12" s="4" t="s">
        <v>26</v>
      </c>
      <c r="C12" s="6">
        <f>SUM(C10:C11)</f>
        <v>3348</v>
      </c>
      <c r="D12" s="7">
        <f>C12/C12</f>
        <v>1</v>
      </c>
    </row>
    <row r="13" spans="2:4" x14ac:dyDescent="0.25">
      <c r="C13" s="8"/>
      <c r="D13" s="8"/>
    </row>
    <row r="14" spans="2:4" x14ac:dyDescent="0.25">
      <c r="B14" s="3" t="s">
        <v>28</v>
      </c>
      <c r="C14" s="6" t="s">
        <v>21</v>
      </c>
      <c r="D14" s="6" t="s">
        <v>22</v>
      </c>
    </row>
    <row r="15" spans="2:4" x14ac:dyDescent="0.25">
      <c r="B15" s="4" t="s">
        <v>30</v>
      </c>
      <c r="C15" s="4">
        <v>922</v>
      </c>
      <c r="D15" s="5">
        <f>C15/C17</f>
        <v>0.87977099236641221</v>
      </c>
    </row>
    <row r="16" spans="2:4" x14ac:dyDescent="0.25">
      <c r="B16" s="3" t="s">
        <v>29</v>
      </c>
      <c r="C16" s="4">
        <v>126</v>
      </c>
      <c r="D16" s="5">
        <f>C16/C17</f>
        <v>0.12022900763358779</v>
      </c>
    </row>
    <row r="17" spans="2:30" x14ac:dyDescent="0.25">
      <c r="B17" s="4" t="s">
        <v>26</v>
      </c>
      <c r="C17" s="4">
        <f>SUM(C15:C16)</f>
        <v>1048</v>
      </c>
      <c r="D17" s="5">
        <f>C17/C17</f>
        <v>1</v>
      </c>
    </row>
    <row r="20" spans="2:30" x14ac:dyDescent="0.25">
      <c r="B20" s="1"/>
    </row>
    <row r="21" spans="2:30" x14ac:dyDescent="0.25">
      <c r="B21" s="1"/>
    </row>
    <row r="22" spans="2:30" x14ac:dyDescent="0.25">
      <c r="B22" s="1"/>
    </row>
    <row r="25" spans="2:30" x14ac:dyDescent="0.25">
      <c r="B25" s="18" t="s">
        <v>31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</row>
    <row r="26" spans="2:30" x14ac:dyDescent="0.25">
      <c r="B26" s="9" t="s">
        <v>32</v>
      </c>
      <c r="C26" s="14" t="s">
        <v>0</v>
      </c>
      <c r="D26" s="14" t="s">
        <v>1</v>
      </c>
      <c r="E26" s="14" t="s">
        <v>2</v>
      </c>
      <c r="F26" s="14" t="s">
        <v>3</v>
      </c>
      <c r="G26" s="14" t="s">
        <v>4</v>
      </c>
      <c r="H26" s="14" t="s">
        <v>5</v>
      </c>
      <c r="I26" s="14" t="s">
        <v>6</v>
      </c>
      <c r="J26" s="14" t="s">
        <v>7</v>
      </c>
      <c r="K26" s="14" t="s">
        <v>8</v>
      </c>
      <c r="L26" s="14" t="s">
        <v>9</v>
      </c>
      <c r="M26" s="14" t="s">
        <v>10</v>
      </c>
      <c r="N26" s="21"/>
      <c r="O26" s="27"/>
      <c r="P26" s="28"/>
      <c r="Q26" s="29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8"/>
      <c r="AD26" s="28"/>
    </row>
    <row r="27" spans="2:30" x14ac:dyDescent="0.25">
      <c r="B27" s="15" t="s">
        <v>35</v>
      </c>
      <c r="C27" s="15">
        <v>102</v>
      </c>
      <c r="D27" s="15">
        <v>875</v>
      </c>
      <c r="E27" s="15">
        <v>47</v>
      </c>
      <c r="F27" s="15">
        <v>24</v>
      </c>
      <c r="G27" s="17">
        <v>0.93225199999999997</v>
      </c>
      <c r="H27" s="17">
        <v>0.68456399999999995</v>
      </c>
      <c r="I27" s="17">
        <v>0.80952400000000002</v>
      </c>
      <c r="J27" s="17">
        <v>0.94902399999999998</v>
      </c>
      <c r="K27" s="16">
        <v>0.87650300000000003</v>
      </c>
      <c r="L27" s="16">
        <v>0.74181799999999998</v>
      </c>
      <c r="M27" s="17">
        <v>0.70314200000000004</v>
      </c>
      <c r="N27" s="22"/>
      <c r="O27" s="24"/>
      <c r="P27" s="28"/>
      <c r="Q27" s="30"/>
      <c r="R27" s="30"/>
      <c r="S27" s="30"/>
      <c r="T27" s="30"/>
      <c r="U27" s="30"/>
      <c r="V27" s="22"/>
      <c r="W27" s="22"/>
      <c r="X27" s="22"/>
      <c r="Y27" s="22"/>
      <c r="Z27" s="22"/>
      <c r="AA27" s="22"/>
      <c r="AB27" s="22"/>
      <c r="AC27" s="28"/>
      <c r="AD27" s="28"/>
    </row>
    <row r="28" spans="2:30" x14ac:dyDescent="0.25">
      <c r="B28" s="15" t="s">
        <v>39</v>
      </c>
      <c r="C28" s="15">
        <v>94</v>
      </c>
      <c r="D28" s="15">
        <v>881</v>
      </c>
      <c r="E28" s="15">
        <v>41</v>
      </c>
      <c r="F28" s="15">
        <v>32</v>
      </c>
      <c r="G28" s="17">
        <v>0.93034399999999995</v>
      </c>
      <c r="H28" s="17">
        <v>0.69629600000000003</v>
      </c>
      <c r="I28" s="17">
        <v>0.74603200000000003</v>
      </c>
      <c r="J28" s="17">
        <v>0.95553100000000002</v>
      </c>
      <c r="K28" s="17">
        <v>0.84430799999999995</v>
      </c>
      <c r="L28" s="17">
        <v>0.72030700000000003</v>
      </c>
      <c r="M28" s="17">
        <v>0.68057900000000005</v>
      </c>
      <c r="N28" s="22"/>
      <c r="O28" s="24"/>
      <c r="P28" s="28"/>
      <c r="Q28" s="30"/>
      <c r="R28" s="30"/>
      <c r="S28" s="30"/>
      <c r="T28" s="30"/>
      <c r="U28" s="30"/>
      <c r="V28" s="22"/>
      <c r="W28" s="22"/>
      <c r="X28" s="22"/>
      <c r="Y28" s="22"/>
      <c r="Z28" s="22"/>
      <c r="AA28" s="22"/>
      <c r="AB28" s="22"/>
      <c r="AC28" s="28"/>
      <c r="AD28" s="28"/>
    </row>
    <row r="29" spans="2:30" x14ac:dyDescent="0.25">
      <c r="B29" s="15" t="s">
        <v>40</v>
      </c>
      <c r="C29" s="15">
        <v>93</v>
      </c>
      <c r="D29" s="15">
        <v>875</v>
      </c>
      <c r="E29" s="15">
        <v>47</v>
      </c>
      <c r="F29" s="15">
        <v>33</v>
      </c>
      <c r="G29" s="17">
        <v>0.92366400000000004</v>
      </c>
      <c r="H29" s="17">
        <v>0.66428600000000004</v>
      </c>
      <c r="I29" s="17">
        <v>0.73809499999999995</v>
      </c>
      <c r="J29" s="17">
        <v>0.94902399999999998</v>
      </c>
      <c r="K29" s="17">
        <v>0.83694100000000005</v>
      </c>
      <c r="L29" s="17">
        <v>0.69924799999999998</v>
      </c>
      <c r="M29" s="17">
        <v>0.655671</v>
      </c>
      <c r="N29" s="22"/>
      <c r="O29" s="24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</row>
    <row r="30" spans="2:30" x14ac:dyDescent="0.25">
      <c r="B30" s="15" t="s">
        <v>41</v>
      </c>
      <c r="C30" s="15">
        <v>89</v>
      </c>
      <c r="D30" s="15">
        <v>840</v>
      </c>
      <c r="E30" s="15">
        <v>82</v>
      </c>
      <c r="F30" s="15">
        <v>37</v>
      </c>
      <c r="G30" s="13">
        <v>0.88644999999999996</v>
      </c>
      <c r="H30" s="13">
        <v>0.52046800000000004</v>
      </c>
      <c r="I30" s="13">
        <v>0.706349</v>
      </c>
      <c r="J30" s="13">
        <v>0.91106299999999996</v>
      </c>
      <c r="K30" s="13">
        <v>0.80220199999999997</v>
      </c>
      <c r="L30" s="13">
        <v>0.59932700000000005</v>
      </c>
      <c r="M30" s="13">
        <v>0.534941</v>
      </c>
      <c r="N30" s="23"/>
      <c r="O30" s="24"/>
      <c r="P30" s="28"/>
      <c r="Q30" s="30"/>
      <c r="R30" s="30"/>
      <c r="S30" s="30"/>
      <c r="T30" s="30"/>
      <c r="U30" s="30"/>
      <c r="V30" s="22"/>
      <c r="W30" s="22"/>
      <c r="X30" s="22"/>
      <c r="Y30" s="22"/>
      <c r="Z30" s="22"/>
      <c r="AA30" s="22"/>
      <c r="AB30" s="22"/>
      <c r="AC30" s="28"/>
      <c r="AD30" s="28"/>
    </row>
    <row r="31" spans="2:30" x14ac:dyDescent="0.25">
      <c r="B31" s="3" t="s">
        <v>13</v>
      </c>
      <c r="C31" s="3">
        <v>87</v>
      </c>
      <c r="D31" s="3">
        <v>892</v>
      </c>
      <c r="E31" s="3">
        <v>30</v>
      </c>
      <c r="F31" s="3">
        <v>39</v>
      </c>
      <c r="G31" s="13">
        <v>0.93415999999999999</v>
      </c>
      <c r="H31" s="13">
        <v>0.74358999999999997</v>
      </c>
      <c r="I31" s="13">
        <v>0.69047599999999998</v>
      </c>
      <c r="J31" s="13">
        <v>0.96746200000000004</v>
      </c>
      <c r="K31" s="13">
        <v>0.81731799999999999</v>
      </c>
      <c r="L31" s="13">
        <v>0.71604900000000005</v>
      </c>
      <c r="M31" s="13">
        <v>0.67886999999999997</v>
      </c>
      <c r="N31" s="23"/>
      <c r="O31" s="24"/>
      <c r="P31" s="28"/>
      <c r="Q31" s="30"/>
      <c r="R31" s="30"/>
      <c r="S31" s="30"/>
      <c r="T31" s="30"/>
      <c r="U31" s="30"/>
      <c r="V31" s="22"/>
      <c r="W31" s="22"/>
      <c r="X31" s="22"/>
      <c r="Y31" s="22"/>
      <c r="Z31" s="22"/>
      <c r="AA31" s="22"/>
      <c r="AB31" s="22"/>
      <c r="AC31" s="28"/>
      <c r="AD31" s="28"/>
    </row>
    <row r="32" spans="2:30" x14ac:dyDescent="0.25">
      <c r="B32" s="3" t="s">
        <v>42</v>
      </c>
      <c r="C32" s="3">
        <v>84</v>
      </c>
      <c r="D32" s="3">
        <v>904</v>
      </c>
      <c r="E32" s="3">
        <v>18</v>
      </c>
      <c r="F32" s="3">
        <v>42</v>
      </c>
      <c r="G32" s="13">
        <v>0.94274800000000003</v>
      </c>
      <c r="H32" s="13">
        <v>0.82352899999999996</v>
      </c>
      <c r="I32" s="13">
        <v>0.66666700000000001</v>
      </c>
      <c r="J32" s="13">
        <v>0.98047700000000004</v>
      </c>
      <c r="K32" s="13">
        <v>0.80848699999999996</v>
      </c>
      <c r="L32" s="13">
        <v>0.736842</v>
      </c>
      <c r="M32" s="16">
        <v>0.705121</v>
      </c>
      <c r="N32" s="22"/>
      <c r="O32" s="24"/>
      <c r="P32" s="28"/>
      <c r="Q32" s="30"/>
      <c r="R32" s="30"/>
      <c r="S32" s="30"/>
      <c r="T32" s="30"/>
      <c r="U32" s="30"/>
      <c r="V32" s="22"/>
      <c r="W32" s="22"/>
      <c r="X32" s="22"/>
      <c r="Y32" s="22"/>
      <c r="Z32" s="22"/>
      <c r="AA32" s="22"/>
      <c r="AB32" s="22"/>
      <c r="AC32" s="28"/>
      <c r="AD32" s="28"/>
    </row>
    <row r="33" spans="2:30" x14ac:dyDescent="0.25">
      <c r="B33" s="3" t="s">
        <v>43</v>
      </c>
      <c r="C33" s="3">
        <v>83</v>
      </c>
      <c r="D33" s="3">
        <v>870</v>
      </c>
      <c r="E33" s="3">
        <v>52</v>
      </c>
      <c r="F33" s="3">
        <v>43</v>
      </c>
      <c r="G33" s="13">
        <v>0.90935100000000002</v>
      </c>
      <c r="H33" s="13">
        <v>0.614815</v>
      </c>
      <c r="I33" s="13">
        <v>0.65873000000000004</v>
      </c>
      <c r="J33" s="13">
        <v>0.94360100000000002</v>
      </c>
      <c r="K33" s="13">
        <v>0.78840200000000005</v>
      </c>
      <c r="L33" s="13">
        <v>0.636015</v>
      </c>
      <c r="M33" s="13">
        <v>0.58431500000000003</v>
      </c>
      <c r="N33" s="23"/>
      <c r="O33" s="24"/>
      <c r="P33" s="28"/>
      <c r="Q33" s="30"/>
      <c r="R33" s="30"/>
      <c r="S33" s="30"/>
      <c r="T33" s="30"/>
      <c r="U33" s="30"/>
      <c r="V33" s="22"/>
      <c r="W33" s="22"/>
      <c r="X33" s="22"/>
      <c r="Y33" s="22"/>
      <c r="Z33" s="22"/>
      <c r="AA33" s="22"/>
      <c r="AB33" s="22"/>
      <c r="AC33" s="28"/>
      <c r="AD33" s="28"/>
    </row>
    <row r="34" spans="2:30" x14ac:dyDescent="0.25">
      <c r="B34" s="3" t="s">
        <v>15</v>
      </c>
      <c r="C34" s="3">
        <v>80</v>
      </c>
      <c r="D34" s="3">
        <v>875</v>
      </c>
      <c r="E34" s="3">
        <v>47</v>
      </c>
      <c r="F34" s="3">
        <v>46</v>
      </c>
      <c r="G34" s="13">
        <v>0.91125999999999996</v>
      </c>
      <c r="H34" s="13">
        <v>0.62992099999999995</v>
      </c>
      <c r="I34" s="13">
        <v>0.63492099999999996</v>
      </c>
      <c r="J34" s="13">
        <v>0.94902399999999998</v>
      </c>
      <c r="K34" s="13">
        <v>0.77624400000000005</v>
      </c>
      <c r="L34" s="13">
        <v>0.63241099999999995</v>
      </c>
      <c r="M34" s="13">
        <v>0.581951</v>
      </c>
      <c r="N34" s="23"/>
      <c r="O34" s="24"/>
      <c r="P34" s="28"/>
      <c r="Q34" s="30"/>
      <c r="R34" s="30"/>
      <c r="S34" s="30"/>
      <c r="T34" s="30"/>
      <c r="U34" s="30"/>
      <c r="V34" s="22"/>
      <c r="W34" s="22"/>
      <c r="X34" s="22"/>
      <c r="Y34" s="22"/>
      <c r="Z34" s="22"/>
      <c r="AA34" s="22"/>
      <c r="AB34" s="22"/>
      <c r="AC34" s="28"/>
      <c r="AD34" s="28"/>
    </row>
    <row r="35" spans="2:30" x14ac:dyDescent="0.25">
      <c r="B35" s="3" t="s">
        <v>11</v>
      </c>
      <c r="C35" s="3">
        <v>80</v>
      </c>
      <c r="D35" s="3">
        <v>902</v>
      </c>
      <c r="E35" s="3">
        <v>20</v>
      </c>
      <c r="F35" s="3">
        <v>46</v>
      </c>
      <c r="G35" s="13">
        <v>0.93702300000000005</v>
      </c>
      <c r="H35" s="13">
        <v>0.8</v>
      </c>
      <c r="I35" s="13">
        <v>0.63492099999999996</v>
      </c>
      <c r="J35" s="13">
        <v>0.97830799999999996</v>
      </c>
      <c r="K35" s="13">
        <v>0.78812899999999997</v>
      </c>
      <c r="L35" s="13">
        <v>0.70796499999999996</v>
      </c>
      <c r="M35" s="13">
        <v>0.67319300000000004</v>
      </c>
      <c r="N35" s="23"/>
      <c r="O35" s="24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</row>
    <row r="36" spans="2:30" x14ac:dyDescent="0.25">
      <c r="B36" s="3" t="s">
        <v>44</v>
      </c>
      <c r="C36" s="3">
        <v>77</v>
      </c>
      <c r="D36" s="3">
        <v>900</v>
      </c>
      <c r="E36" s="3">
        <v>22</v>
      </c>
      <c r="F36" s="3">
        <v>49</v>
      </c>
      <c r="G36" s="13">
        <v>0.93225199999999997</v>
      </c>
      <c r="H36" s="13">
        <v>0.77777799999999997</v>
      </c>
      <c r="I36" s="13">
        <v>0.61111099999999996</v>
      </c>
      <c r="J36" s="13">
        <v>0.97613899999999998</v>
      </c>
      <c r="K36" s="13">
        <v>0.77235299999999996</v>
      </c>
      <c r="L36" s="13">
        <v>0.68444400000000005</v>
      </c>
      <c r="M36" s="13">
        <v>0.64710800000000002</v>
      </c>
      <c r="N36" s="23"/>
      <c r="O36" s="24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</row>
    <row r="37" spans="2:30" x14ac:dyDescent="0.25">
      <c r="B37" s="3" t="s">
        <v>34</v>
      </c>
      <c r="C37" s="3">
        <v>76</v>
      </c>
      <c r="D37" s="3">
        <v>913</v>
      </c>
      <c r="E37" s="3">
        <v>9</v>
      </c>
      <c r="F37" s="3">
        <v>50</v>
      </c>
      <c r="G37" s="16">
        <v>0.94370200000000004</v>
      </c>
      <c r="H37" s="13">
        <v>0.89411799999999997</v>
      </c>
      <c r="I37" s="13">
        <v>0.60317500000000002</v>
      </c>
      <c r="J37" s="13">
        <v>0.99023899999999998</v>
      </c>
      <c r="K37" s="13">
        <v>0.77284299999999995</v>
      </c>
      <c r="L37" s="13">
        <v>0.72037899999999999</v>
      </c>
      <c r="M37" s="13">
        <v>0.690388</v>
      </c>
      <c r="N37" s="23"/>
      <c r="O37" s="24"/>
      <c r="P37" s="28"/>
      <c r="Q37" s="30"/>
      <c r="R37" s="30"/>
      <c r="S37" s="30"/>
      <c r="T37" s="30"/>
      <c r="U37" s="30"/>
      <c r="V37" s="22"/>
      <c r="W37" s="22"/>
      <c r="X37" s="22"/>
      <c r="Y37" s="22"/>
      <c r="Z37" s="22"/>
      <c r="AA37" s="22"/>
      <c r="AB37" s="22"/>
      <c r="AC37" s="28"/>
      <c r="AD37" s="28"/>
    </row>
    <row r="38" spans="2:30" x14ac:dyDescent="0.25">
      <c r="B38" s="3" t="s">
        <v>14</v>
      </c>
      <c r="C38" s="20">
        <v>67</v>
      </c>
      <c r="D38" s="11">
        <v>918</v>
      </c>
      <c r="E38" s="11">
        <v>4</v>
      </c>
      <c r="F38" s="20">
        <v>59</v>
      </c>
      <c r="G38" s="13">
        <v>0.93988499999999997</v>
      </c>
      <c r="H38" s="16">
        <v>0.943662</v>
      </c>
      <c r="I38" s="19">
        <v>0.53174600000000005</v>
      </c>
      <c r="J38" s="16">
        <v>0.99566200000000005</v>
      </c>
      <c r="K38" s="13">
        <v>0.727626</v>
      </c>
      <c r="L38" s="13">
        <v>0.680203</v>
      </c>
      <c r="M38" s="13">
        <v>0.64985899999999996</v>
      </c>
      <c r="N38" s="23"/>
      <c r="O38" s="24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</row>
    <row r="39" spans="2:30" x14ac:dyDescent="0.25">
      <c r="B39" s="3" t="s">
        <v>36</v>
      </c>
      <c r="C39" s="11">
        <v>107</v>
      </c>
      <c r="D39" s="3">
        <v>642</v>
      </c>
      <c r="E39" s="3">
        <v>280</v>
      </c>
      <c r="F39" s="11">
        <v>19</v>
      </c>
      <c r="G39" s="13">
        <v>0.71469499999999997</v>
      </c>
      <c r="H39" s="13">
        <v>0.27648600000000001</v>
      </c>
      <c r="I39" s="16">
        <v>0.84920600000000002</v>
      </c>
      <c r="J39" s="13">
        <v>0.69631200000000004</v>
      </c>
      <c r="K39" s="13">
        <v>0.76896900000000001</v>
      </c>
      <c r="L39" s="13">
        <v>0.41715400000000002</v>
      </c>
      <c r="M39" s="13">
        <v>0.28799799999999998</v>
      </c>
      <c r="N39" s="23"/>
      <c r="O39" s="22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</row>
    <row r="40" spans="2:30" x14ac:dyDescent="0.25">
      <c r="B40" s="3" t="s">
        <v>19</v>
      </c>
      <c r="C40" s="3">
        <v>106</v>
      </c>
      <c r="D40" s="20">
        <v>485</v>
      </c>
      <c r="E40" s="20">
        <v>437</v>
      </c>
      <c r="F40" s="3">
        <v>20</v>
      </c>
      <c r="G40" s="19">
        <v>0.56393099999999996</v>
      </c>
      <c r="H40" s="19">
        <v>0.195212</v>
      </c>
      <c r="I40" s="13">
        <v>0.84126999999999996</v>
      </c>
      <c r="J40" s="19">
        <v>0.52603</v>
      </c>
      <c r="K40" s="13">
        <v>0.66523200000000005</v>
      </c>
      <c r="L40" s="13">
        <v>0.31689099999999998</v>
      </c>
      <c r="M40" s="13">
        <v>0.15123800000000001</v>
      </c>
      <c r="N40" s="23"/>
      <c r="O40" s="22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</row>
    <row r="41" spans="2:30" x14ac:dyDescent="0.25">
      <c r="B41" s="3" t="s">
        <v>17</v>
      </c>
      <c r="C41" s="3">
        <v>101</v>
      </c>
      <c r="D41" s="3">
        <v>615</v>
      </c>
      <c r="E41" s="3">
        <v>307</v>
      </c>
      <c r="F41" s="3">
        <v>25</v>
      </c>
      <c r="G41" s="13">
        <v>0.68320599999999998</v>
      </c>
      <c r="H41" s="13">
        <v>0.24754899999999999</v>
      </c>
      <c r="I41" s="13">
        <v>0.80158700000000005</v>
      </c>
      <c r="J41" s="13">
        <v>0.66702799999999995</v>
      </c>
      <c r="K41" s="13">
        <v>0.73121899999999995</v>
      </c>
      <c r="L41" s="13">
        <v>0.37827699999999997</v>
      </c>
      <c r="M41" s="13">
        <v>0.238345</v>
      </c>
      <c r="N41" s="23"/>
      <c r="O41" s="22"/>
      <c r="P41" s="28"/>
      <c r="Q41" s="30"/>
      <c r="R41" s="30"/>
      <c r="S41" s="30"/>
      <c r="T41" s="30"/>
      <c r="U41" s="30"/>
      <c r="V41" s="22"/>
      <c r="W41" s="22"/>
      <c r="X41" s="22"/>
      <c r="Y41" s="22"/>
      <c r="Z41" s="22"/>
      <c r="AA41" s="22"/>
      <c r="AB41" s="22"/>
      <c r="AC41" s="28"/>
      <c r="AD41" s="28"/>
    </row>
    <row r="42" spans="2:30" x14ac:dyDescent="0.25">
      <c r="B42" s="3" t="s">
        <v>37</v>
      </c>
      <c r="C42" s="3">
        <v>99</v>
      </c>
      <c r="D42" s="3">
        <v>658</v>
      </c>
      <c r="E42" s="3">
        <v>264</v>
      </c>
      <c r="F42" s="3">
        <v>27</v>
      </c>
      <c r="G42" s="13">
        <v>0.72232799999999997</v>
      </c>
      <c r="H42" s="13">
        <v>0.272727</v>
      </c>
      <c r="I42" s="13">
        <v>0.78571400000000002</v>
      </c>
      <c r="J42" s="13">
        <v>0.71366600000000002</v>
      </c>
      <c r="K42" s="13">
        <v>0.74882400000000005</v>
      </c>
      <c r="L42" s="13">
        <v>0.40490799999999999</v>
      </c>
      <c r="M42" s="13">
        <v>0.27560400000000002</v>
      </c>
      <c r="N42" s="23"/>
      <c r="O42" s="22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</row>
    <row r="43" spans="2:30" x14ac:dyDescent="0.25">
      <c r="B43" s="3" t="s">
        <v>33</v>
      </c>
      <c r="C43" s="3">
        <v>99</v>
      </c>
      <c r="D43" s="3">
        <v>668</v>
      </c>
      <c r="E43" s="3">
        <v>254</v>
      </c>
      <c r="F43" s="3">
        <v>27</v>
      </c>
      <c r="G43" s="13">
        <v>0.73187000000000002</v>
      </c>
      <c r="H43" s="13">
        <v>0.28045300000000001</v>
      </c>
      <c r="I43" s="13">
        <v>0.78571400000000002</v>
      </c>
      <c r="J43" s="13">
        <v>0.72451200000000004</v>
      </c>
      <c r="K43" s="13">
        <v>0.75449299999999997</v>
      </c>
      <c r="L43" s="13">
        <v>0.41336099999999998</v>
      </c>
      <c r="M43" s="13">
        <v>0.28701599999999999</v>
      </c>
      <c r="N43" s="23"/>
      <c r="O43" s="22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</row>
    <row r="44" spans="2:30" x14ac:dyDescent="0.25">
      <c r="B44" s="3" t="s">
        <v>18</v>
      </c>
      <c r="C44" s="3">
        <v>98</v>
      </c>
      <c r="D44" s="3">
        <v>549</v>
      </c>
      <c r="E44" s="3">
        <v>373</v>
      </c>
      <c r="F44" s="3">
        <v>28</v>
      </c>
      <c r="G44" s="13">
        <v>0.61736599999999997</v>
      </c>
      <c r="H44" s="13">
        <v>0.208068</v>
      </c>
      <c r="I44" s="13">
        <v>0.77777799999999997</v>
      </c>
      <c r="J44" s="13">
        <v>0.595445</v>
      </c>
      <c r="K44" s="13">
        <v>0.68053200000000003</v>
      </c>
      <c r="L44" s="13">
        <v>0.32830799999999999</v>
      </c>
      <c r="M44" s="13">
        <v>0.17105000000000001</v>
      </c>
      <c r="N44" s="23"/>
      <c r="O44" s="22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</row>
    <row r="45" spans="2:30" x14ac:dyDescent="0.25">
      <c r="B45" s="3" t="s">
        <v>38</v>
      </c>
      <c r="C45" s="3">
        <v>97</v>
      </c>
      <c r="D45" s="3">
        <v>698</v>
      </c>
      <c r="E45" s="3">
        <v>224</v>
      </c>
      <c r="F45" s="3">
        <v>29</v>
      </c>
      <c r="G45" s="13">
        <v>0.75858800000000004</v>
      </c>
      <c r="H45" s="13">
        <v>0.30218099999999998</v>
      </c>
      <c r="I45" s="13">
        <v>0.769841</v>
      </c>
      <c r="J45" s="13">
        <v>0.75705</v>
      </c>
      <c r="K45" s="13">
        <v>0.76341899999999996</v>
      </c>
      <c r="L45" s="13">
        <v>0.434004</v>
      </c>
      <c r="M45" s="13">
        <v>0.31586999999999998</v>
      </c>
      <c r="N45" s="22"/>
      <c r="O45" s="22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</row>
    <row r="46" spans="2:30" x14ac:dyDescent="0.25">
      <c r="B46" s="3" t="s">
        <v>16</v>
      </c>
      <c r="C46" s="3">
        <v>92</v>
      </c>
      <c r="D46" s="3">
        <v>546</v>
      </c>
      <c r="E46" s="3">
        <v>376</v>
      </c>
      <c r="F46" s="3">
        <v>34</v>
      </c>
      <c r="G46" s="13">
        <v>0.60877899999999996</v>
      </c>
      <c r="H46" s="13">
        <v>0.19658100000000001</v>
      </c>
      <c r="I46" s="13">
        <v>0.730159</v>
      </c>
      <c r="J46" s="13">
        <v>0.59219100000000002</v>
      </c>
      <c r="K46" s="19">
        <v>0.65756599999999998</v>
      </c>
      <c r="L46" s="19">
        <v>0.30976399999999998</v>
      </c>
      <c r="M46" s="19">
        <v>0.14843400000000001</v>
      </c>
      <c r="N46" s="22"/>
      <c r="O46" s="22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</row>
    <row r="47" spans="2:30" x14ac:dyDescent="0.25">
      <c r="B47" s="3" t="s">
        <v>12</v>
      </c>
      <c r="C47" s="3">
        <v>81</v>
      </c>
      <c r="D47" s="3">
        <v>827</v>
      </c>
      <c r="E47" s="3">
        <v>95</v>
      </c>
      <c r="F47" s="3">
        <v>45</v>
      </c>
      <c r="G47" s="13">
        <v>0.86641199999999996</v>
      </c>
      <c r="H47" s="13">
        <v>0.460227</v>
      </c>
      <c r="I47" s="13">
        <v>0.64285700000000001</v>
      </c>
      <c r="J47" s="13">
        <v>0.89696299999999995</v>
      </c>
      <c r="K47" s="13">
        <v>0.75935399999999997</v>
      </c>
      <c r="L47" s="13">
        <v>0.53642400000000001</v>
      </c>
      <c r="M47" s="13">
        <v>0.46087400000000001</v>
      </c>
      <c r="N47" s="23"/>
      <c r="O47" s="23"/>
    </row>
    <row r="48" spans="2:30" x14ac:dyDescent="0.25">
      <c r="B48" s="26" t="s">
        <v>45</v>
      </c>
      <c r="C48" s="40">
        <f>MAX(C27:C47)</f>
        <v>107</v>
      </c>
      <c r="D48" s="40">
        <f>MAX(D27:D47)</f>
        <v>918</v>
      </c>
      <c r="E48" s="40">
        <f>MIN(E27:E47)</f>
        <v>4</v>
      </c>
      <c r="F48" s="40">
        <f>MIN(F27:F47)</f>
        <v>19</v>
      </c>
      <c r="G48" s="16">
        <f>MAX(G27:G47)</f>
        <v>0.94370200000000004</v>
      </c>
      <c r="H48" s="41">
        <f>MAX(H27:H47)</f>
        <v>0.943662</v>
      </c>
      <c r="I48" s="16">
        <f>MAX(I27:I47)</f>
        <v>0.84920600000000002</v>
      </c>
      <c r="J48" s="41">
        <f>MAX(J27:J47)</f>
        <v>0.99566200000000005</v>
      </c>
      <c r="K48" s="41">
        <f>MAX(K27:K47)</f>
        <v>0.87650300000000003</v>
      </c>
      <c r="L48" s="41">
        <f>MAX(L27:L47)</f>
        <v>0.74181799999999998</v>
      </c>
      <c r="M48" s="41">
        <f>MAX(M27:M47)</f>
        <v>0.705121</v>
      </c>
      <c r="N48" s="12"/>
      <c r="O48" s="12"/>
    </row>
    <row r="49" spans="2:15" x14ac:dyDescent="0.25">
      <c r="B49" s="26" t="s">
        <v>46</v>
      </c>
      <c r="C49" s="42">
        <f>MIN(C27:C47)</f>
        <v>67</v>
      </c>
      <c r="D49" s="42">
        <f>MIN(D27:D47)</f>
        <v>485</v>
      </c>
      <c r="E49" s="42">
        <f>MAX(E27:E47)</f>
        <v>437</v>
      </c>
      <c r="F49" s="42">
        <f>MAX(F27:F47)</f>
        <v>59</v>
      </c>
      <c r="G49" s="43">
        <f t="shared" ref="G49:M49" si="0">MIN(G27:G47)</f>
        <v>0.56393099999999996</v>
      </c>
      <c r="H49" s="43">
        <f t="shared" si="0"/>
        <v>0.195212</v>
      </c>
      <c r="I49" s="43">
        <f t="shared" si="0"/>
        <v>0.53174600000000005</v>
      </c>
      <c r="J49" s="43">
        <f t="shared" si="0"/>
        <v>0.52603</v>
      </c>
      <c r="K49" s="43">
        <f t="shared" si="0"/>
        <v>0.65756599999999998</v>
      </c>
      <c r="L49" s="43">
        <f t="shared" si="0"/>
        <v>0.30976399999999998</v>
      </c>
      <c r="M49" s="43">
        <f t="shared" si="0"/>
        <v>0.14843400000000001</v>
      </c>
      <c r="N49" s="12"/>
      <c r="O49" s="12"/>
    </row>
    <row r="52" spans="2:15" x14ac:dyDescent="0.25">
      <c r="B52" s="9" t="s">
        <v>32</v>
      </c>
      <c r="C52" s="14" t="s">
        <v>6</v>
      </c>
    </row>
    <row r="53" spans="2:15" x14ac:dyDescent="0.25">
      <c r="B53" s="3" t="s">
        <v>36</v>
      </c>
      <c r="C53" s="16">
        <v>0.84920600000000002</v>
      </c>
    </row>
    <row r="54" spans="2:15" x14ac:dyDescent="0.25">
      <c r="B54" s="3" t="s">
        <v>19</v>
      </c>
      <c r="C54" s="13">
        <v>0.84126999999999996</v>
      </c>
    </row>
    <row r="55" spans="2:15" x14ac:dyDescent="0.25">
      <c r="B55" s="15" t="s">
        <v>35</v>
      </c>
      <c r="C55" s="17">
        <v>0.80952400000000002</v>
      </c>
    </row>
    <row r="56" spans="2:15" x14ac:dyDescent="0.25">
      <c r="B56" s="3" t="s">
        <v>17</v>
      </c>
      <c r="C56" s="13">
        <v>0.80158700000000005</v>
      </c>
    </row>
    <row r="57" spans="2:15" x14ac:dyDescent="0.25">
      <c r="B57" s="3" t="s">
        <v>33</v>
      </c>
      <c r="C57" s="13">
        <v>0.78571400000000002</v>
      </c>
    </row>
    <row r="58" spans="2:15" x14ac:dyDescent="0.25">
      <c r="B58" s="3" t="s">
        <v>37</v>
      </c>
      <c r="C58" s="13">
        <v>0.78571400000000002</v>
      </c>
    </row>
    <row r="59" spans="2:15" x14ac:dyDescent="0.25">
      <c r="B59" s="3" t="s">
        <v>18</v>
      </c>
      <c r="C59" s="13">
        <v>0.77777799999999997</v>
      </c>
    </row>
    <row r="60" spans="2:15" x14ac:dyDescent="0.25">
      <c r="B60" s="3" t="s">
        <v>38</v>
      </c>
      <c r="C60" s="13">
        <v>0.769841</v>
      </c>
    </row>
    <row r="61" spans="2:15" x14ac:dyDescent="0.25">
      <c r="B61" s="15" t="s">
        <v>39</v>
      </c>
      <c r="C61" s="17">
        <v>0.74603200000000003</v>
      </c>
    </row>
    <row r="62" spans="2:15" x14ac:dyDescent="0.25">
      <c r="B62" s="15" t="s">
        <v>40</v>
      </c>
      <c r="C62" s="17">
        <v>0.73809499999999995</v>
      </c>
    </row>
    <row r="63" spans="2:15" x14ac:dyDescent="0.25">
      <c r="B63" s="3" t="s">
        <v>16</v>
      </c>
      <c r="C63" s="13">
        <v>0.730159</v>
      </c>
    </row>
    <row r="64" spans="2:15" x14ac:dyDescent="0.25">
      <c r="B64" s="15" t="s">
        <v>41</v>
      </c>
      <c r="C64" s="13">
        <v>0.706349</v>
      </c>
    </row>
    <row r="65" spans="2:3" x14ac:dyDescent="0.25">
      <c r="B65" s="3" t="s">
        <v>13</v>
      </c>
      <c r="C65" s="13">
        <v>0.69047599999999998</v>
      </c>
    </row>
    <row r="66" spans="2:3" x14ac:dyDescent="0.25">
      <c r="B66" s="3" t="s">
        <v>42</v>
      </c>
      <c r="C66" s="13">
        <v>0.66666700000000001</v>
      </c>
    </row>
    <row r="67" spans="2:3" x14ac:dyDescent="0.25">
      <c r="B67" s="3" t="s">
        <v>43</v>
      </c>
      <c r="C67" s="13">
        <v>0.65873000000000004</v>
      </c>
    </row>
    <row r="68" spans="2:3" x14ac:dyDescent="0.25">
      <c r="B68" s="3" t="s">
        <v>12</v>
      </c>
      <c r="C68" s="13">
        <v>0.64285700000000001</v>
      </c>
    </row>
    <row r="69" spans="2:3" x14ac:dyDescent="0.25">
      <c r="B69" s="3" t="s">
        <v>11</v>
      </c>
      <c r="C69" s="13">
        <v>0.63492099999999996</v>
      </c>
    </row>
    <row r="70" spans="2:3" x14ac:dyDescent="0.25">
      <c r="B70" s="3" t="s">
        <v>15</v>
      </c>
      <c r="C70" s="13">
        <v>0.63492099999999996</v>
      </c>
    </row>
    <row r="71" spans="2:3" x14ac:dyDescent="0.25">
      <c r="B71" s="3" t="s">
        <v>44</v>
      </c>
      <c r="C71" s="13">
        <v>0.61111099999999996</v>
      </c>
    </row>
    <row r="72" spans="2:3" x14ac:dyDescent="0.25">
      <c r="B72" s="3" t="s">
        <v>34</v>
      </c>
      <c r="C72" s="13">
        <v>0.60317500000000002</v>
      </c>
    </row>
    <row r="73" spans="2:3" x14ac:dyDescent="0.25">
      <c r="B73" s="3" t="s">
        <v>14</v>
      </c>
      <c r="C73" s="19">
        <v>0.53174600000000005</v>
      </c>
    </row>
    <row r="75" spans="2:3" x14ac:dyDescent="0.25">
      <c r="B75" s="9" t="s">
        <v>32</v>
      </c>
      <c r="C75" s="14" t="s">
        <v>5</v>
      </c>
    </row>
    <row r="76" spans="2:3" x14ac:dyDescent="0.25">
      <c r="B76" s="3" t="s">
        <v>14</v>
      </c>
      <c r="C76" s="16">
        <v>0.943662</v>
      </c>
    </row>
    <row r="77" spans="2:3" x14ac:dyDescent="0.25">
      <c r="B77" s="3" t="s">
        <v>34</v>
      </c>
      <c r="C77" s="13">
        <v>0.89411799999999997</v>
      </c>
    </row>
    <row r="78" spans="2:3" x14ac:dyDescent="0.25">
      <c r="B78" s="3" t="s">
        <v>42</v>
      </c>
      <c r="C78" s="13">
        <v>0.82352899999999996</v>
      </c>
    </row>
    <row r="79" spans="2:3" x14ac:dyDescent="0.25">
      <c r="B79" s="3" t="s">
        <v>11</v>
      </c>
      <c r="C79" s="13">
        <v>0.8</v>
      </c>
    </row>
    <row r="80" spans="2:3" x14ac:dyDescent="0.25">
      <c r="B80" s="3" t="s">
        <v>44</v>
      </c>
      <c r="C80" s="13">
        <v>0.77777799999999997</v>
      </c>
    </row>
    <row r="81" spans="2:3" x14ac:dyDescent="0.25">
      <c r="B81" s="3" t="s">
        <v>13</v>
      </c>
      <c r="C81" s="13">
        <v>0.74358999999999997</v>
      </c>
    </row>
    <row r="82" spans="2:3" x14ac:dyDescent="0.25">
      <c r="B82" s="15" t="s">
        <v>39</v>
      </c>
      <c r="C82" s="17">
        <v>0.69629600000000003</v>
      </c>
    </row>
    <row r="83" spans="2:3" x14ac:dyDescent="0.25">
      <c r="B83" s="15" t="s">
        <v>35</v>
      </c>
      <c r="C83" s="17">
        <v>0.68456399999999995</v>
      </c>
    </row>
    <row r="84" spans="2:3" x14ac:dyDescent="0.25">
      <c r="B84" s="15" t="s">
        <v>40</v>
      </c>
      <c r="C84" s="17">
        <v>0.66428600000000004</v>
      </c>
    </row>
    <row r="85" spans="2:3" x14ac:dyDescent="0.25">
      <c r="B85" s="3" t="s">
        <v>15</v>
      </c>
      <c r="C85" s="13">
        <v>0.62992099999999995</v>
      </c>
    </row>
    <row r="86" spans="2:3" x14ac:dyDescent="0.25">
      <c r="B86" s="3" t="s">
        <v>43</v>
      </c>
      <c r="C86" s="13">
        <v>0.614815</v>
      </c>
    </row>
    <row r="87" spans="2:3" x14ac:dyDescent="0.25">
      <c r="B87" s="15" t="s">
        <v>41</v>
      </c>
      <c r="C87" s="13">
        <v>0.52046800000000004</v>
      </c>
    </row>
    <row r="88" spans="2:3" x14ac:dyDescent="0.25">
      <c r="B88" s="3" t="s">
        <v>12</v>
      </c>
      <c r="C88" s="13">
        <v>0.460227</v>
      </c>
    </row>
    <row r="89" spans="2:3" x14ac:dyDescent="0.25">
      <c r="B89" s="3" t="s">
        <v>38</v>
      </c>
      <c r="C89" s="13">
        <v>0.30218099999999998</v>
      </c>
    </row>
    <row r="90" spans="2:3" x14ac:dyDescent="0.25">
      <c r="B90" s="3" t="s">
        <v>33</v>
      </c>
      <c r="C90" s="13">
        <v>0.28045300000000001</v>
      </c>
    </row>
    <row r="91" spans="2:3" x14ac:dyDescent="0.25">
      <c r="B91" s="3" t="s">
        <v>36</v>
      </c>
      <c r="C91" s="13">
        <v>0.27648600000000001</v>
      </c>
    </row>
    <row r="92" spans="2:3" x14ac:dyDescent="0.25">
      <c r="B92" s="3" t="s">
        <v>37</v>
      </c>
      <c r="C92" s="13">
        <v>0.272727</v>
      </c>
    </row>
    <row r="93" spans="2:3" x14ac:dyDescent="0.25">
      <c r="B93" s="3" t="s">
        <v>17</v>
      </c>
      <c r="C93" s="13">
        <v>0.24754899999999999</v>
      </c>
    </row>
    <row r="94" spans="2:3" x14ac:dyDescent="0.25">
      <c r="B94" s="3" t="s">
        <v>18</v>
      </c>
      <c r="C94" s="13">
        <v>0.208068</v>
      </c>
    </row>
    <row r="95" spans="2:3" x14ac:dyDescent="0.25">
      <c r="B95" s="3" t="s">
        <v>16</v>
      </c>
      <c r="C95" s="13">
        <v>0.19658100000000001</v>
      </c>
    </row>
    <row r="96" spans="2:3" x14ac:dyDescent="0.25">
      <c r="B96" s="3" t="s">
        <v>19</v>
      </c>
      <c r="C96" s="19">
        <v>0.195212</v>
      </c>
    </row>
    <row r="98" spans="2:3" x14ac:dyDescent="0.25">
      <c r="B98" s="9" t="s">
        <v>32</v>
      </c>
      <c r="C98" s="14" t="s">
        <v>7</v>
      </c>
    </row>
    <row r="99" spans="2:3" x14ac:dyDescent="0.25">
      <c r="B99" s="3" t="s">
        <v>14</v>
      </c>
      <c r="C99" s="16">
        <v>0.99566200000000005</v>
      </c>
    </row>
    <row r="100" spans="2:3" x14ac:dyDescent="0.25">
      <c r="B100" s="3" t="s">
        <v>34</v>
      </c>
      <c r="C100" s="13">
        <v>0.99023899999999998</v>
      </c>
    </row>
    <row r="101" spans="2:3" x14ac:dyDescent="0.25">
      <c r="B101" s="3" t="s">
        <v>42</v>
      </c>
      <c r="C101" s="13">
        <v>0.98047700000000004</v>
      </c>
    </row>
    <row r="102" spans="2:3" x14ac:dyDescent="0.25">
      <c r="B102" s="3" t="s">
        <v>11</v>
      </c>
      <c r="C102" s="13">
        <v>0.97830799999999996</v>
      </c>
    </row>
    <row r="103" spans="2:3" x14ac:dyDescent="0.25">
      <c r="B103" s="3" t="s">
        <v>44</v>
      </c>
      <c r="C103" s="13">
        <v>0.97613899999999998</v>
      </c>
    </row>
    <row r="104" spans="2:3" x14ac:dyDescent="0.25">
      <c r="B104" s="3" t="s">
        <v>13</v>
      </c>
      <c r="C104" s="13">
        <v>0.96746200000000004</v>
      </c>
    </row>
    <row r="105" spans="2:3" x14ac:dyDescent="0.25">
      <c r="B105" s="15" t="s">
        <v>39</v>
      </c>
      <c r="C105" s="17">
        <v>0.95553100000000002</v>
      </c>
    </row>
    <row r="106" spans="2:3" x14ac:dyDescent="0.25">
      <c r="B106" s="15" t="s">
        <v>35</v>
      </c>
      <c r="C106" s="17">
        <v>0.94902399999999998</v>
      </c>
    </row>
    <row r="107" spans="2:3" x14ac:dyDescent="0.25">
      <c r="B107" s="15" t="s">
        <v>40</v>
      </c>
      <c r="C107" s="17">
        <v>0.94902399999999998</v>
      </c>
    </row>
    <row r="108" spans="2:3" x14ac:dyDescent="0.25">
      <c r="B108" s="3" t="s">
        <v>15</v>
      </c>
      <c r="C108" s="13">
        <v>0.94902399999999998</v>
      </c>
    </row>
    <row r="109" spans="2:3" x14ac:dyDescent="0.25">
      <c r="B109" s="3" t="s">
        <v>43</v>
      </c>
      <c r="C109" s="13">
        <v>0.94360100000000002</v>
      </c>
    </row>
    <row r="110" spans="2:3" x14ac:dyDescent="0.25">
      <c r="B110" s="15" t="s">
        <v>41</v>
      </c>
      <c r="C110" s="13">
        <v>0.91106299999999996</v>
      </c>
    </row>
    <row r="111" spans="2:3" x14ac:dyDescent="0.25">
      <c r="B111" s="3" t="s">
        <v>12</v>
      </c>
      <c r="C111" s="13">
        <v>0.89696299999999995</v>
      </c>
    </row>
    <row r="112" spans="2:3" x14ac:dyDescent="0.25">
      <c r="B112" s="3" t="s">
        <v>38</v>
      </c>
      <c r="C112" s="13">
        <v>0.75705</v>
      </c>
    </row>
    <row r="113" spans="2:13" x14ac:dyDescent="0.25">
      <c r="B113" s="3" t="s">
        <v>33</v>
      </c>
      <c r="C113" s="13">
        <v>0.72451200000000004</v>
      </c>
    </row>
    <row r="114" spans="2:13" x14ac:dyDescent="0.25">
      <c r="B114" s="3" t="s">
        <v>37</v>
      </c>
      <c r="C114" s="13">
        <v>0.71366600000000002</v>
      </c>
    </row>
    <row r="115" spans="2:13" x14ac:dyDescent="0.25">
      <c r="B115" s="3" t="s">
        <v>36</v>
      </c>
      <c r="C115" s="13">
        <v>0.69631200000000004</v>
      </c>
    </row>
    <row r="116" spans="2:13" x14ac:dyDescent="0.25">
      <c r="B116" s="3" t="s">
        <v>17</v>
      </c>
      <c r="C116" s="13">
        <v>0.66702799999999995</v>
      </c>
    </row>
    <row r="117" spans="2:13" x14ac:dyDescent="0.25">
      <c r="B117" s="3" t="s">
        <v>18</v>
      </c>
      <c r="C117" s="13">
        <v>0.595445</v>
      </c>
    </row>
    <row r="118" spans="2:13" x14ac:dyDescent="0.25">
      <c r="B118" s="3" t="s">
        <v>16</v>
      </c>
      <c r="C118" s="13">
        <v>0.59219100000000002</v>
      </c>
    </row>
    <row r="119" spans="2:13" x14ac:dyDescent="0.25">
      <c r="B119" s="3" t="s">
        <v>19</v>
      </c>
      <c r="C119" s="19">
        <v>0.52603</v>
      </c>
    </row>
    <row r="122" spans="2:13" x14ac:dyDescent="0.25">
      <c r="B122" s="2" t="s">
        <v>47</v>
      </c>
    </row>
    <row r="123" spans="2:13" x14ac:dyDescent="0.25">
      <c r="B123" s="9" t="s">
        <v>32</v>
      </c>
      <c r="C123" s="14" t="s">
        <v>0</v>
      </c>
      <c r="D123" s="14" t="s">
        <v>1</v>
      </c>
      <c r="E123" s="14" t="s">
        <v>2</v>
      </c>
      <c r="F123" s="14" t="s">
        <v>3</v>
      </c>
      <c r="G123" s="14" t="s">
        <v>4</v>
      </c>
      <c r="H123" s="14" t="s">
        <v>5</v>
      </c>
      <c r="I123" s="14" t="s">
        <v>6</v>
      </c>
      <c r="J123" s="14" t="s">
        <v>7</v>
      </c>
      <c r="K123" s="14" t="s">
        <v>8</v>
      </c>
      <c r="L123" s="14" t="s">
        <v>9</v>
      </c>
      <c r="M123" s="14" t="s">
        <v>10</v>
      </c>
    </row>
    <row r="124" spans="2:13" x14ac:dyDescent="0.25">
      <c r="B124" s="10" t="s">
        <v>35</v>
      </c>
      <c r="C124" s="10">
        <v>102</v>
      </c>
      <c r="D124" s="10">
        <v>875</v>
      </c>
      <c r="E124" s="10">
        <v>47</v>
      </c>
      <c r="F124" s="10">
        <v>24</v>
      </c>
      <c r="G124" s="25">
        <v>0.93225199999999997</v>
      </c>
      <c r="H124" s="25">
        <v>0.68456399999999995</v>
      </c>
      <c r="I124" s="25">
        <v>0.80952400000000002</v>
      </c>
      <c r="J124" s="25">
        <v>0.94902399999999998</v>
      </c>
      <c r="K124" s="16">
        <v>0.87650300000000003</v>
      </c>
      <c r="L124" s="16">
        <v>0.74181799999999998</v>
      </c>
      <c r="M124" s="25">
        <v>0.70314200000000004</v>
      </c>
    </row>
    <row r="125" spans="2:13" x14ac:dyDescent="0.25">
      <c r="B125" s="10" t="s">
        <v>39</v>
      </c>
      <c r="C125" s="10">
        <v>94</v>
      </c>
      <c r="D125" s="10">
        <v>881</v>
      </c>
      <c r="E125" s="10">
        <v>41</v>
      </c>
      <c r="F125" s="10">
        <v>32</v>
      </c>
      <c r="G125" s="25">
        <v>0.93034399999999995</v>
      </c>
      <c r="H125" s="25">
        <v>0.69629600000000003</v>
      </c>
      <c r="I125" s="25">
        <v>0.74603200000000003</v>
      </c>
      <c r="J125" s="25">
        <v>0.95553100000000002</v>
      </c>
      <c r="K125" s="25">
        <v>0.84430799999999995</v>
      </c>
      <c r="L125" s="25">
        <v>0.72030700000000003</v>
      </c>
      <c r="M125" s="25">
        <v>0.68057900000000005</v>
      </c>
    </row>
    <row r="126" spans="2:13" x14ac:dyDescent="0.25">
      <c r="B126" s="10" t="s">
        <v>40</v>
      </c>
      <c r="C126" s="10">
        <v>93</v>
      </c>
      <c r="D126" s="10">
        <v>875</v>
      </c>
      <c r="E126" s="10">
        <v>47</v>
      </c>
      <c r="F126" s="10">
        <v>33</v>
      </c>
      <c r="G126" s="25">
        <v>0.92366400000000004</v>
      </c>
      <c r="H126" s="25">
        <v>0.66428600000000004</v>
      </c>
      <c r="I126" s="25">
        <v>0.73809499999999995</v>
      </c>
      <c r="J126" s="25">
        <v>0.94902399999999998</v>
      </c>
      <c r="K126" s="25">
        <v>0.83694100000000005</v>
      </c>
      <c r="L126" s="25">
        <v>0.69924799999999998</v>
      </c>
      <c r="M126" s="25">
        <v>0.655671</v>
      </c>
    </row>
    <row r="127" spans="2:13" x14ac:dyDescent="0.25">
      <c r="B127" s="15" t="s">
        <v>41</v>
      </c>
      <c r="C127" s="15">
        <v>89</v>
      </c>
      <c r="D127" s="15">
        <v>840</v>
      </c>
      <c r="E127" s="15">
        <v>82</v>
      </c>
      <c r="F127" s="15">
        <v>37</v>
      </c>
      <c r="G127" s="13">
        <v>0.88644999999999996</v>
      </c>
      <c r="H127" s="13">
        <v>0.52046800000000004</v>
      </c>
      <c r="I127" s="13">
        <v>0.706349</v>
      </c>
      <c r="J127" s="13">
        <v>0.91106299999999996</v>
      </c>
      <c r="K127" s="13">
        <v>0.80220199999999997</v>
      </c>
      <c r="L127" s="13">
        <v>0.59932700000000005</v>
      </c>
      <c r="M127" s="13">
        <v>0.534941</v>
      </c>
    </row>
    <row r="128" spans="2:13" x14ac:dyDescent="0.25">
      <c r="B128" s="3" t="s">
        <v>13</v>
      </c>
      <c r="C128" s="3">
        <v>87</v>
      </c>
      <c r="D128" s="3">
        <v>892</v>
      </c>
      <c r="E128" s="3">
        <v>30</v>
      </c>
      <c r="F128" s="3">
        <v>39</v>
      </c>
      <c r="G128" s="13">
        <v>0.93415999999999999</v>
      </c>
      <c r="H128" s="13">
        <v>0.74358999999999997</v>
      </c>
      <c r="I128" s="13">
        <v>0.69047599999999998</v>
      </c>
      <c r="J128" s="13">
        <v>0.96746200000000004</v>
      </c>
      <c r="K128" s="13">
        <v>0.81731799999999999</v>
      </c>
      <c r="L128" s="13">
        <v>0.71604900000000005</v>
      </c>
      <c r="M128" s="13">
        <v>0.67886999999999997</v>
      </c>
    </row>
    <row r="129" spans="2:13" x14ac:dyDescent="0.25">
      <c r="B129" s="3" t="s">
        <v>42</v>
      </c>
      <c r="C129" s="3">
        <v>84</v>
      </c>
      <c r="D129" s="3">
        <v>904</v>
      </c>
      <c r="E129" s="3">
        <v>18</v>
      </c>
      <c r="F129" s="3">
        <v>42</v>
      </c>
      <c r="G129" s="13">
        <v>0.94274800000000003</v>
      </c>
      <c r="H129" s="13">
        <v>0.82352899999999996</v>
      </c>
      <c r="I129" s="13">
        <v>0.66666700000000001</v>
      </c>
      <c r="J129" s="13">
        <v>0.98047700000000004</v>
      </c>
      <c r="K129" s="13">
        <v>0.80848699999999996</v>
      </c>
      <c r="L129" s="13">
        <v>0.736842</v>
      </c>
      <c r="M129" s="16">
        <v>0.705121</v>
      </c>
    </row>
    <row r="130" spans="2:13" x14ac:dyDescent="0.25">
      <c r="B130" s="3" t="s">
        <v>43</v>
      </c>
      <c r="C130" s="3">
        <v>83</v>
      </c>
      <c r="D130" s="3">
        <v>870</v>
      </c>
      <c r="E130" s="3">
        <v>52</v>
      </c>
      <c r="F130" s="3">
        <v>43</v>
      </c>
      <c r="G130" s="13">
        <v>0.90935100000000002</v>
      </c>
      <c r="H130" s="13">
        <v>0.614815</v>
      </c>
      <c r="I130" s="13">
        <v>0.65873000000000004</v>
      </c>
      <c r="J130" s="13">
        <v>0.94360100000000002</v>
      </c>
      <c r="K130" s="13">
        <v>0.78840200000000005</v>
      </c>
      <c r="L130" s="13">
        <v>0.636015</v>
      </c>
      <c r="M130" s="13">
        <v>0.58431500000000003</v>
      </c>
    </row>
    <row r="131" spans="2:13" x14ac:dyDescent="0.25">
      <c r="B131" s="3" t="s">
        <v>15</v>
      </c>
      <c r="C131" s="3">
        <v>80</v>
      </c>
      <c r="D131" s="3">
        <v>875</v>
      </c>
      <c r="E131" s="3">
        <v>47</v>
      </c>
      <c r="F131" s="3">
        <v>46</v>
      </c>
      <c r="G131" s="13">
        <v>0.91125999999999996</v>
      </c>
      <c r="H131" s="13">
        <v>0.62992099999999995</v>
      </c>
      <c r="I131" s="13">
        <v>0.63492099999999996</v>
      </c>
      <c r="J131" s="13">
        <v>0.94902399999999998</v>
      </c>
      <c r="K131" s="13">
        <v>0.77624400000000005</v>
      </c>
      <c r="L131" s="13">
        <v>0.63241099999999995</v>
      </c>
      <c r="M131" s="13">
        <v>0.581951</v>
      </c>
    </row>
    <row r="132" spans="2:13" x14ac:dyDescent="0.25">
      <c r="B132" s="3" t="s">
        <v>11</v>
      </c>
      <c r="C132" s="3">
        <v>80</v>
      </c>
      <c r="D132" s="3">
        <v>902</v>
      </c>
      <c r="E132" s="3">
        <v>20</v>
      </c>
      <c r="F132" s="3">
        <v>46</v>
      </c>
      <c r="G132" s="13">
        <v>0.93702300000000005</v>
      </c>
      <c r="H132" s="13">
        <v>0.8</v>
      </c>
      <c r="I132" s="13">
        <v>0.63492099999999996</v>
      </c>
      <c r="J132" s="13">
        <v>0.97830799999999996</v>
      </c>
      <c r="K132" s="13">
        <v>0.78812899999999997</v>
      </c>
      <c r="L132" s="13">
        <v>0.70796499999999996</v>
      </c>
      <c r="M132" s="13">
        <v>0.67319300000000004</v>
      </c>
    </row>
    <row r="133" spans="2:13" x14ac:dyDescent="0.25">
      <c r="B133" s="3" t="s">
        <v>44</v>
      </c>
      <c r="C133" s="3">
        <v>77</v>
      </c>
      <c r="D133" s="3">
        <v>900</v>
      </c>
      <c r="E133" s="3">
        <v>22</v>
      </c>
      <c r="F133" s="3">
        <v>49</v>
      </c>
      <c r="G133" s="13">
        <v>0.93225199999999997</v>
      </c>
      <c r="H133" s="13">
        <v>0.77777799999999997</v>
      </c>
      <c r="I133" s="13">
        <v>0.61111099999999996</v>
      </c>
      <c r="J133" s="13">
        <v>0.97613899999999998</v>
      </c>
      <c r="K133" s="13">
        <v>0.77235299999999996</v>
      </c>
      <c r="L133" s="13">
        <v>0.68444400000000005</v>
      </c>
      <c r="M133" s="13">
        <v>0.64710800000000002</v>
      </c>
    </row>
    <row r="134" spans="2:13" x14ac:dyDescent="0.25">
      <c r="B134" s="3" t="s">
        <v>34</v>
      </c>
      <c r="C134" s="3">
        <v>76</v>
      </c>
      <c r="D134" s="3">
        <v>913</v>
      </c>
      <c r="E134" s="3">
        <v>9</v>
      </c>
      <c r="F134" s="3">
        <v>50</v>
      </c>
      <c r="G134" s="16">
        <v>0.94370200000000004</v>
      </c>
      <c r="H134" s="13">
        <v>0.89411799999999997</v>
      </c>
      <c r="I134" s="13">
        <v>0.60317500000000002</v>
      </c>
      <c r="J134" s="13">
        <v>0.99023899999999998</v>
      </c>
      <c r="K134" s="13">
        <v>0.77284299999999995</v>
      </c>
      <c r="L134" s="13">
        <v>0.72037899999999999</v>
      </c>
      <c r="M134" s="13">
        <v>0.690388</v>
      </c>
    </row>
    <row r="135" spans="2:13" x14ac:dyDescent="0.25">
      <c r="B135" s="3" t="s">
        <v>14</v>
      </c>
      <c r="C135" s="20">
        <v>67</v>
      </c>
      <c r="D135" s="11">
        <v>918</v>
      </c>
      <c r="E135" s="11">
        <v>4</v>
      </c>
      <c r="F135" s="20">
        <v>59</v>
      </c>
      <c r="G135" s="13">
        <v>0.93988499999999997</v>
      </c>
      <c r="H135" s="16">
        <v>0.943662</v>
      </c>
      <c r="I135" s="19">
        <v>0.53174600000000005</v>
      </c>
      <c r="J135" s="16">
        <v>0.99566200000000005</v>
      </c>
      <c r="K135" s="13">
        <v>0.727626</v>
      </c>
      <c r="L135" s="13">
        <v>0.680203</v>
      </c>
      <c r="M135" s="13">
        <v>0.64985899999999996</v>
      </c>
    </row>
    <row r="137" spans="2:13" x14ac:dyDescent="0.25">
      <c r="B137" s="2" t="s">
        <v>48</v>
      </c>
    </row>
    <row r="138" spans="2:13" x14ac:dyDescent="0.25">
      <c r="B138" s="9" t="s">
        <v>32</v>
      </c>
      <c r="C138" s="14" t="s">
        <v>0</v>
      </c>
      <c r="D138" s="14" t="s">
        <v>1</v>
      </c>
      <c r="E138" s="14" t="s">
        <v>2</v>
      </c>
      <c r="F138" s="14" t="s">
        <v>3</v>
      </c>
      <c r="G138" s="14" t="s">
        <v>4</v>
      </c>
      <c r="H138" s="14" t="s">
        <v>5</v>
      </c>
      <c r="I138" s="14" t="s">
        <v>6</v>
      </c>
      <c r="J138" s="14" t="s">
        <v>7</v>
      </c>
      <c r="K138" s="14" t="s">
        <v>8</v>
      </c>
      <c r="L138" s="14" t="s">
        <v>9</v>
      </c>
      <c r="M138" s="14" t="s">
        <v>10</v>
      </c>
    </row>
    <row r="139" spans="2:13" x14ac:dyDescent="0.25">
      <c r="B139" s="3" t="s">
        <v>36</v>
      </c>
      <c r="C139" s="31">
        <v>107</v>
      </c>
      <c r="D139" s="32">
        <v>642</v>
      </c>
      <c r="E139" s="32">
        <v>280</v>
      </c>
      <c r="F139" s="31">
        <v>19</v>
      </c>
      <c r="G139" s="33">
        <v>0.7147</v>
      </c>
      <c r="H139" s="33">
        <v>0.27649000000000001</v>
      </c>
      <c r="I139" s="34">
        <v>0.84921000000000002</v>
      </c>
      <c r="J139" s="33">
        <v>0.69630999999999998</v>
      </c>
      <c r="K139" s="33">
        <v>0.76897000000000004</v>
      </c>
      <c r="L139" s="33">
        <v>0.41715000000000002</v>
      </c>
      <c r="M139" s="33">
        <v>0.28799999999999998</v>
      </c>
    </row>
    <row r="140" spans="2:13" x14ac:dyDescent="0.25">
      <c r="B140" s="35" t="s">
        <v>19</v>
      </c>
      <c r="C140" s="36">
        <v>106</v>
      </c>
      <c r="D140" s="37">
        <v>485</v>
      </c>
      <c r="E140" s="37">
        <v>437</v>
      </c>
      <c r="F140" s="36">
        <v>20</v>
      </c>
      <c r="G140" s="38">
        <v>0.56393000000000004</v>
      </c>
      <c r="H140" s="38">
        <v>0.19520999999999999</v>
      </c>
      <c r="I140" s="39">
        <v>0.84126999999999996</v>
      </c>
      <c r="J140" s="38">
        <v>0.52603</v>
      </c>
      <c r="K140" s="39">
        <v>0.66522999999999999</v>
      </c>
      <c r="L140" s="39">
        <v>0.31689000000000001</v>
      </c>
      <c r="M140" s="39">
        <v>0.15124000000000001</v>
      </c>
    </row>
    <row r="141" spans="2:13" x14ac:dyDescent="0.25">
      <c r="B141" s="35" t="s">
        <v>17</v>
      </c>
      <c r="C141" s="36">
        <v>101</v>
      </c>
      <c r="D141" s="36">
        <v>615</v>
      </c>
      <c r="E141" s="36">
        <v>307</v>
      </c>
      <c r="F141" s="36">
        <v>25</v>
      </c>
      <c r="G141" s="39">
        <v>0.68320999999999998</v>
      </c>
      <c r="H141" s="39">
        <v>0.24754999999999999</v>
      </c>
      <c r="I141" s="39">
        <v>0.80159000000000002</v>
      </c>
      <c r="J141" s="39">
        <v>0.66703000000000001</v>
      </c>
      <c r="K141" s="39">
        <v>0.73121999999999998</v>
      </c>
      <c r="L141" s="39">
        <v>0.37828000000000001</v>
      </c>
      <c r="M141" s="39">
        <v>0.23835000000000001</v>
      </c>
    </row>
    <row r="142" spans="2:13" x14ac:dyDescent="0.25">
      <c r="B142" s="35" t="s">
        <v>37</v>
      </c>
      <c r="C142" s="36">
        <v>99</v>
      </c>
      <c r="D142" s="36">
        <v>658</v>
      </c>
      <c r="E142" s="36">
        <v>264</v>
      </c>
      <c r="F142" s="36">
        <v>27</v>
      </c>
      <c r="G142" s="39">
        <v>0.72233000000000003</v>
      </c>
      <c r="H142" s="39">
        <v>0.27272999999999997</v>
      </c>
      <c r="I142" s="39">
        <v>0.78571000000000002</v>
      </c>
      <c r="J142" s="39">
        <v>0.71367000000000003</v>
      </c>
      <c r="K142" s="39">
        <v>0.74882000000000004</v>
      </c>
      <c r="L142" s="39">
        <v>0.40490999999999999</v>
      </c>
      <c r="M142" s="39">
        <v>0.27560000000000001</v>
      </c>
    </row>
    <row r="143" spans="2:13" x14ac:dyDescent="0.25">
      <c r="B143" s="35" t="s">
        <v>33</v>
      </c>
      <c r="C143" s="36">
        <v>99</v>
      </c>
      <c r="D143" s="36">
        <v>668</v>
      </c>
      <c r="E143" s="36">
        <v>254</v>
      </c>
      <c r="F143" s="36">
        <v>27</v>
      </c>
      <c r="G143" s="39">
        <v>0.73187000000000002</v>
      </c>
      <c r="H143" s="39">
        <v>0.28044999999999998</v>
      </c>
      <c r="I143" s="39">
        <v>0.78571000000000002</v>
      </c>
      <c r="J143" s="39">
        <v>0.72450999999999999</v>
      </c>
      <c r="K143" s="39">
        <v>0.75448999999999999</v>
      </c>
      <c r="L143" s="39">
        <v>0.41336000000000001</v>
      </c>
      <c r="M143" s="39">
        <v>0.28702</v>
      </c>
    </row>
    <row r="144" spans="2:13" x14ac:dyDescent="0.25">
      <c r="B144" s="35" t="s">
        <v>18</v>
      </c>
      <c r="C144" s="36">
        <v>98</v>
      </c>
      <c r="D144" s="36">
        <v>549</v>
      </c>
      <c r="E144" s="36">
        <v>373</v>
      </c>
      <c r="F144" s="36">
        <v>28</v>
      </c>
      <c r="G144" s="39">
        <v>0.61736999999999997</v>
      </c>
      <c r="H144" s="39">
        <v>0.20807</v>
      </c>
      <c r="I144" s="39">
        <v>0.77778000000000003</v>
      </c>
      <c r="J144" s="39">
        <v>0.59545000000000003</v>
      </c>
      <c r="K144" s="39">
        <v>0.68052999999999997</v>
      </c>
      <c r="L144" s="39">
        <v>0.32830999999999999</v>
      </c>
      <c r="M144" s="39">
        <v>0.17105000000000001</v>
      </c>
    </row>
    <row r="145" spans="2:13" x14ac:dyDescent="0.25">
      <c r="B145" s="35" t="s">
        <v>38</v>
      </c>
      <c r="C145" s="36">
        <v>97</v>
      </c>
      <c r="D145" s="36">
        <v>698</v>
      </c>
      <c r="E145" s="36">
        <v>224</v>
      </c>
      <c r="F145" s="36">
        <v>29</v>
      </c>
      <c r="G145" s="39">
        <v>0.75858999999999999</v>
      </c>
      <c r="H145" s="39">
        <v>0.30218</v>
      </c>
      <c r="I145" s="39">
        <v>0.76983999999999997</v>
      </c>
      <c r="J145" s="39">
        <v>0.75705</v>
      </c>
      <c r="K145" s="39">
        <v>0.76341999999999999</v>
      </c>
      <c r="L145" s="39">
        <v>0.434</v>
      </c>
      <c r="M145" s="39">
        <v>0.31586999999999998</v>
      </c>
    </row>
    <row r="146" spans="2:13" x14ac:dyDescent="0.25">
      <c r="B146" s="35" t="s">
        <v>16</v>
      </c>
      <c r="C146" s="36">
        <v>92</v>
      </c>
      <c r="D146" s="36">
        <v>546</v>
      </c>
      <c r="E146" s="36">
        <v>376</v>
      </c>
      <c r="F146" s="36">
        <v>34</v>
      </c>
      <c r="G146" s="39">
        <v>0.60877999999999999</v>
      </c>
      <c r="H146" s="39">
        <v>0.19658</v>
      </c>
      <c r="I146" s="39">
        <v>0.73016000000000003</v>
      </c>
      <c r="J146" s="39">
        <v>0.59218999999999999</v>
      </c>
      <c r="K146" s="38">
        <v>0.65756999999999999</v>
      </c>
      <c r="L146" s="38">
        <v>0.30975999999999998</v>
      </c>
      <c r="M146" s="38">
        <v>0.14843000000000001</v>
      </c>
    </row>
    <row r="147" spans="2:13" x14ac:dyDescent="0.25">
      <c r="B147" s="35" t="s">
        <v>12</v>
      </c>
      <c r="C147" s="36">
        <v>81</v>
      </c>
      <c r="D147" s="36">
        <v>827</v>
      </c>
      <c r="E147" s="36">
        <v>95</v>
      </c>
      <c r="F147" s="36">
        <v>45</v>
      </c>
      <c r="G147" s="39">
        <v>0.86641000000000001</v>
      </c>
      <c r="H147" s="39">
        <v>0.46022999999999997</v>
      </c>
      <c r="I147" s="39">
        <v>0.64285999999999999</v>
      </c>
      <c r="J147" s="39">
        <v>0.89695999999999998</v>
      </c>
      <c r="K147" s="39">
        <v>0.75934999999999997</v>
      </c>
      <c r="L147" s="39">
        <v>0.53642000000000001</v>
      </c>
      <c r="M147" s="39">
        <v>0.46087</v>
      </c>
    </row>
  </sheetData>
  <sortState xmlns:xlrd2="http://schemas.microsoft.com/office/spreadsheetml/2017/richdata2" ref="B27:M47">
    <sortCondition descending="1" ref="I27:I47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2021-03-29T19:18:58Z</dcterms:created>
  <dcterms:modified xsi:type="dcterms:W3CDTF">2021-04-29T18:25:37Z</dcterms:modified>
</cp:coreProperties>
</file>